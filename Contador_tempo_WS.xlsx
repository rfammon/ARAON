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ate1904="1"/>
  <mc:AlternateContent xmlns:mc="http://schemas.openxmlformats.org/markup-compatibility/2006">
    <mc:Choice Requires="x15">
      <x15ac:absPath xmlns:x15ac="http://schemas.microsoft.com/office/spreadsheetml/2010/11/ac" url="C:\Users\EV9Y\Downloads\"/>
    </mc:Choice>
  </mc:AlternateContent>
  <xr:revisionPtr revIDLastSave="0" documentId="8_{C52B400B-4892-407C-BA86-68A5E0593790}" xr6:coauthVersionLast="47" xr6:coauthVersionMax="47" xr10:uidLastSave="{00000000-0000-0000-0000-000000000000}"/>
  <bookViews>
    <workbookView xWindow="4965" yWindow="-21720" windowWidth="38640" windowHeight="21120" xr2:uid="{00000000-000D-0000-FFFF-FFFF00000000}"/>
  </bookViews>
  <sheets>
    <sheet name="Módulo I" sheetId="4" r:id="rId1"/>
    <sheet name="Módulo II " sheetId="5" r:id="rId2"/>
    <sheet name="Módulo III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6" l="1"/>
  <c r="G16" i="6" s="1"/>
  <c r="B16" i="6"/>
  <c r="E15" i="6"/>
  <c r="G15" i="6" s="1"/>
  <c r="E13" i="6"/>
  <c r="G13" i="6" s="1"/>
  <c r="E14" i="6"/>
  <c r="G14" i="6" s="1"/>
  <c r="E10" i="6"/>
  <c r="G10" i="6" s="1"/>
  <c r="E9" i="6"/>
  <c r="G9" i="6" s="1"/>
  <c r="G17" i="5"/>
  <c r="G18" i="5"/>
  <c r="G16" i="5"/>
  <c r="G15" i="5"/>
  <c r="E17" i="5"/>
  <c r="E18" i="5"/>
  <c r="E16" i="5"/>
  <c r="E13" i="5"/>
  <c r="E14" i="5"/>
  <c r="E15" i="5"/>
  <c r="C12" i="5"/>
  <c r="B12" i="5"/>
  <c r="E12" i="5"/>
  <c r="G12" i="5" s="1"/>
  <c r="C13" i="4"/>
  <c r="B13" i="4"/>
  <c r="E15" i="4"/>
  <c r="E16" i="4"/>
  <c r="E17" i="4"/>
  <c r="E12" i="4"/>
  <c r="G12" i="4" s="1"/>
  <c r="E12" i="6"/>
  <c r="G12" i="6" s="1"/>
  <c r="E11" i="6"/>
  <c r="G11" i="6" s="1"/>
  <c r="E8" i="6"/>
  <c r="G8" i="6" s="1"/>
  <c r="E7" i="6"/>
  <c r="G7" i="6" s="1"/>
  <c r="E6" i="6"/>
  <c r="G6" i="6" s="1"/>
  <c r="E5" i="6"/>
  <c r="G5" i="6" s="1"/>
  <c r="G4" i="6"/>
  <c r="C4" i="6"/>
  <c r="B5" i="6" s="1"/>
  <c r="C5" i="6" s="1"/>
  <c r="B6" i="6" s="1"/>
  <c r="C6" i="6" s="1"/>
  <c r="B7" i="6" s="1"/>
  <c r="C7" i="6" s="1"/>
  <c r="B8" i="6" s="1"/>
  <c r="C8" i="6" s="1"/>
  <c r="G14" i="5"/>
  <c r="G13" i="5"/>
  <c r="E11" i="5"/>
  <c r="G11" i="5" s="1"/>
  <c r="E10" i="5"/>
  <c r="G10" i="5" s="1"/>
  <c r="E9" i="5"/>
  <c r="G9" i="5" s="1"/>
  <c r="E8" i="5"/>
  <c r="G8" i="5" s="1"/>
  <c r="E7" i="5"/>
  <c r="G7" i="5" s="1"/>
  <c r="E6" i="5"/>
  <c r="G6" i="5" s="1"/>
  <c r="E5" i="5"/>
  <c r="G5" i="5" s="1"/>
  <c r="G4" i="5"/>
  <c r="C4" i="5"/>
  <c r="B5" i="5" s="1"/>
  <c r="C5" i="5" s="1"/>
  <c r="B6" i="5" s="1"/>
  <c r="C6" i="5" s="1"/>
  <c r="B7" i="5" s="1"/>
  <c r="C7" i="5" s="1"/>
  <c r="B8" i="5" s="1"/>
  <c r="C8" i="5" s="1"/>
  <c r="B9" i="5" s="1"/>
  <c r="C9" i="5" s="1"/>
  <c r="B10" i="5" s="1"/>
  <c r="C10" i="5" s="1"/>
  <c r="B11" i="5" s="1"/>
  <c r="C11" i="5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3" i="4"/>
  <c r="G13" i="4" s="1"/>
  <c r="E14" i="4"/>
  <c r="G14" i="4" s="1"/>
  <c r="G15" i="4"/>
  <c r="G16" i="4"/>
  <c r="G17" i="4"/>
  <c r="E5" i="4"/>
  <c r="G5" i="4" s="1"/>
  <c r="G4" i="4"/>
  <c r="B13" i="5" l="1"/>
  <c r="C13" i="5" s="1"/>
  <c r="C4" i="4"/>
  <c r="B9" i="6" l="1"/>
  <c r="C9" i="6" s="1"/>
  <c r="B14" i="5"/>
  <c r="C14" i="5" s="1"/>
  <c r="B5" i="4"/>
  <c r="C5" i="4" s="1"/>
  <c r="B6" i="4" s="1"/>
  <c r="B10" i="6" l="1"/>
  <c r="B15" i="5"/>
  <c r="C15" i="5" s="1"/>
  <c r="C6" i="4"/>
  <c r="C10" i="6" l="1"/>
  <c r="B11" i="6" s="1"/>
  <c r="C11" i="6" s="1"/>
  <c r="B12" i="6" s="1"/>
  <c r="B16" i="5"/>
  <c r="C16" i="5" s="1"/>
  <c r="B7" i="4"/>
  <c r="C7" i="4" s="1"/>
  <c r="C12" i="6" l="1"/>
  <c r="B13" i="6" s="1"/>
  <c r="B18" i="5"/>
  <c r="C18" i="5" s="1"/>
  <c r="B17" i="5"/>
  <c r="C17" i="5" s="1"/>
  <c r="B8" i="4"/>
  <c r="C8" i="4" s="1"/>
  <c r="C13" i="6" l="1"/>
  <c r="B14" i="6" s="1"/>
  <c r="B9" i="4"/>
  <c r="C9" i="4" s="1"/>
  <c r="C14" i="6" l="1"/>
  <c r="B10" i="4"/>
  <c r="C10" i="4" s="1"/>
  <c r="B15" i="6" l="1"/>
  <c r="C15" i="6" s="1"/>
  <c r="C16" i="6" s="1"/>
  <c r="B11" i="4"/>
  <c r="C11" i="4" s="1"/>
  <c r="B12" i="4" s="1"/>
  <c r="C12" i="4" s="1"/>
  <c r="B14" i="4" l="1"/>
  <c r="C14" i="4" s="1"/>
  <c r="B15" i="4" l="1"/>
  <c r="C15" i="4" s="1"/>
  <c r="B16" i="4" l="1"/>
  <c r="C16" i="4" s="1"/>
  <c r="B17" i="4" l="1"/>
  <c r="C17" i="4" s="1"/>
  <c r="B18" i="4" s="1"/>
  <c r="C18" i="4" s="1"/>
</calcChain>
</file>

<file path=xl/sharedStrings.xml><?xml version="1.0" encoding="utf-8"?>
<sst xmlns="http://schemas.openxmlformats.org/spreadsheetml/2006/main" count="82" uniqueCount="43">
  <si>
    <t>Planejado</t>
  </si>
  <si>
    <t>Realizado</t>
  </si>
  <si>
    <t>Atividade</t>
  </si>
  <si>
    <t>Inicio</t>
  </si>
  <si>
    <t>Fim</t>
  </si>
  <si>
    <t>Duração</t>
  </si>
  <si>
    <t>Agenda</t>
  </si>
  <si>
    <t>Intervalo</t>
  </si>
  <si>
    <t>Variação</t>
  </si>
  <si>
    <t>fórmulas</t>
  </si>
  <si>
    <t>editáveis</t>
  </si>
  <si>
    <t>Legenda</t>
  </si>
  <si>
    <t>Apresentação Inicial e Combinados</t>
  </si>
  <si>
    <t>Reflexão - video queda de árvore</t>
  </si>
  <si>
    <t>Apresentação do Instrutor e Objetivos do Modulo 1</t>
  </si>
  <si>
    <t>Primeiro Bloco de Perguntas</t>
  </si>
  <si>
    <t>Bloco 1- A Padronização Estatisticas e depoimento Douglas</t>
  </si>
  <si>
    <t>Bloco 1 - B Momento interação - Núvens de Palavras - Painel Ocorrências</t>
  </si>
  <si>
    <t>Bloco 1  - C Aspectos Legais e Normativos e conclusão</t>
  </si>
  <si>
    <t>Bloco 2 A - Escopo e Planejamento</t>
  </si>
  <si>
    <t>Bloco 2 B - Plano de Trabalho</t>
  </si>
  <si>
    <t>Bloco 2 C - Autorização de Supressão</t>
  </si>
  <si>
    <t>Bloco 2 D - Ferramentas de Gestão e Verificação</t>
  </si>
  <si>
    <t>Segundo Bloco de Perguntas</t>
  </si>
  <si>
    <t xml:space="preserve">Bloco 2 E - Conclusão e Interação </t>
  </si>
  <si>
    <t>Agenda e Quiz</t>
  </si>
  <si>
    <t>Bloco 1 A - Risco Abóreo</t>
  </si>
  <si>
    <t>Bloco 1 B - Avaliação de Falhas</t>
  </si>
  <si>
    <t>Bloco 1 C - Avaliação de Raízes</t>
  </si>
  <si>
    <t>Bloco 1 E - Avaliação de Tronco</t>
  </si>
  <si>
    <t>Bloco 1 F - Avaliação de Galhos</t>
  </si>
  <si>
    <t>Bloco 2 A - Avaliação de Alvos</t>
  </si>
  <si>
    <t>Bloco 2 B - Avaliação de Risco</t>
  </si>
  <si>
    <t>Bloco 2 C - Mobilização e isolamento</t>
  </si>
  <si>
    <t>Quiz</t>
  </si>
  <si>
    <t>Encerramento do módulo II</t>
  </si>
  <si>
    <t>Bloco 1 A - Anatomia do Galho</t>
  </si>
  <si>
    <t>Bloco 1 B - Tipos de Poda</t>
  </si>
  <si>
    <t>Bloco 1 C - Perigos na Poda - Interação</t>
  </si>
  <si>
    <t>Bloco 2 A - Técnicas de Corte</t>
  </si>
  <si>
    <t>Bloco 2 B - Cuidados na Operação</t>
  </si>
  <si>
    <t>Bloco 2 C - Ferramentas e EPIs</t>
  </si>
  <si>
    <t>Bloco 2 B - Gestão de Resíduos e desmobilização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</si>
</sst>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Petrobras Sans"/>
      <family val="2"/>
    </font>
    <font>
      <b/>
      <sz val="11"/>
      <color theme="1"/>
      <name val="Petrobras Sans"/>
      <family val="2"/>
    </font>
    <font>
      <sz val="11"/>
      <color theme="1"/>
      <name val="Petrobras Sans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0" fontId="0" fillId="0" borderId="0" xfId="0" applyNumberFormat="1"/>
    <xf numFmtId="20" fontId="1" fillId="0" borderId="1" xfId="0" applyNumberFormat="1" applyFont="1" applyBorder="1"/>
    <xf numFmtId="20" fontId="1" fillId="0" borderId="0" xfId="0" applyNumberFormat="1" applyFont="1"/>
    <xf numFmtId="20" fontId="1" fillId="0" borderId="2" xfId="0" applyNumberFormat="1" applyFont="1" applyBorder="1"/>
    <xf numFmtId="20" fontId="3" fillId="0" borderId="2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0" fontId="3" fillId="0" borderId="0" xfId="0" applyNumberFormat="1" applyFont="1"/>
    <xf numFmtId="20" fontId="3" fillId="0" borderId="4" xfId="0" applyNumberFormat="1" applyFont="1" applyBorder="1"/>
    <xf numFmtId="20" fontId="3" fillId="0" borderId="5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1" fillId="2" borderId="0" xfId="0" applyNumberFormat="1" applyFont="1" applyFill="1"/>
    <xf numFmtId="20" fontId="3" fillId="2" borderId="4" xfId="0" applyNumberFormat="1" applyFont="1" applyFill="1" applyBorder="1"/>
    <xf numFmtId="20" fontId="1" fillId="2" borderId="2" xfId="0" applyNumberFormat="1" applyFont="1" applyFill="1" applyBorder="1"/>
    <xf numFmtId="20" fontId="3" fillId="2" borderId="5" xfId="0" applyNumberFormat="1" applyFont="1" applyFill="1" applyBorder="1"/>
    <xf numFmtId="164" fontId="0" fillId="2" borderId="0" xfId="0" applyNumberForma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20" fontId="1" fillId="2" borderId="1" xfId="0" applyNumberFormat="1" applyFont="1" applyFill="1" applyBorder="1"/>
    <xf numFmtId="20" fontId="3" fillId="2" borderId="3" xfId="0" applyNumberFormat="1" applyFont="1" applyFill="1" applyBorder="1"/>
    <xf numFmtId="0" fontId="2" fillId="0" borderId="9" xfId="0" applyFont="1" applyBorder="1"/>
    <xf numFmtId="0" fontId="1" fillId="0" borderId="10" xfId="0" applyFont="1" applyBorder="1"/>
    <xf numFmtId="0" fontId="1" fillId="2" borderId="11" xfId="0" applyFont="1" applyFill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10C8-A523-4410-836E-5A9E5C5FF53E}">
  <dimension ref="A1:J27"/>
  <sheetViews>
    <sheetView tabSelected="1" zoomScale="115" zoomScaleNormal="115" workbookViewId="0">
      <selection activeCell="I10" sqref="I10"/>
    </sheetView>
  </sheetViews>
  <sheetFormatPr defaultRowHeight="15" x14ac:dyDescent="0.25"/>
  <cols>
    <col min="1" max="1" width="30.28515625" style="28" bestFit="1" customWidth="1"/>
    <col min="8" max="8" width="9" style="13" customWidth="1"/>
  </cols>
  <sheetData>
    <row r="1" spans="1:10" ht="15.75" thickBot="1" x14ac:dyDescent="0.3"/>
    <row r="2" spans="1:10" ht="15.75" thickBot="1" x14ac:dyDescent="0.3">
      <c r="B2" s="25" t="s">
        <v>0</v>
      </c>
      <c r="C2" s="26"/>
      <c r="D2" s="27"/>
      <c r="E2" s="25" t="s">
        <v>1</v>
      </c>
      <c r="F2" s="26"/>
      <c r="G2" s="27"/>
      <c r="J2" s="22" t="s">
        <v>11</v>
      </c>
    </row>
    <row r="3" spans="1:10" ht="15.75" thickBot="1" x14ac:dyDescent="0.3">
      <c r="A3" s="29" t="s">
        <v>2</v>
      </c>
      <c r="B3" s="6" t="s">
        <v>3</v>
      </c>
      <c r="C3" s="7" t="s">
        <v>4</v>
      </c>
      <c r="D3" s="8" t="s">
        <v>5</v>
      </c>
      <c r="E3" s="6" t="s">
        <v>3</v>
      </c>
      <c r="F3" s="7" t="s">
        <v>4</v>
      </c>
      <c r="G3" s="8" t="s">
        <v>5</v>
      </c>
      <c r="H3" s="12" t="s">
        <v>8</v>
      </c>
      <c r="J3" s="23" t="s">
        <v>10</v>
      </c>
    </row>
    <row r="4" spans="1:10" ht="30" x14ac:dyDescent="0.25">
      <c r="A4" s="30" t="s">
        <v>12</v>
      </c>
      <c r="B4" s="2">
        <v>0.54166666666666663</v>
      </c>
      <c r="C4" s="14">
        <f>B4+D4</f>
        <v>0.54861111111111105</v>
      </c>
      <c r="D4" s="4">
        <v>6.9444444444444441E-3</v>
      </c>
      <c r="E4" s="2"/>
      <c r="F4" s="3"/>
      <c r="G4" s="16">
        <f>F4-E4</f>
        <v>0</v>
      </c>
      <c r="H4" s="18"/>
      <c r="J4" s="24" t="s">
        <v>9</v>
      </c>
    </row>
    <row r="5" spans="1:10" x14ac:dyDescent="0.25">
      <c r="A5" s="30" t="s">
        <v>6</v>
      </c>
      <c r="B5" s="20">
        <f t="shared" ref="B5:B18" si="0">C4</f>
        <v>0.54861111111111105</v>
      </c>
      <c r="C5" s="14">
        <f t="shared" ref="C5:C6" si="1">B5+D5</f>
        <v>0.55208333333333326</v>
      </c>
      <c r="D5" s="4">
        <v>3.472222222222222E-3</v>
      </c>
      <c r="E5" s="20">
        <f t="shared" ref="E5:E17" si="2">F4</f>
        <v>0</v>
      </c>
      <c r="F5" s="3"/>
      <c r="G5" s="16">
        <f t="shared" ref="G5" si="3">F5-E5</f>
        <v>0</v>
      </c>
      <c r="H5" s="18"/>
    </row>
    <row r="6" spans="1:10" ht="30" x14ac:dyDescent="0.25">
      <c r="A6" s="30" t="s">
        <v>13</v>
      </c>
      <c r="B6" s="20">
        <f t="shared" si="0"/>
        <v>0.55208333333333326</v>
      </c>
      <c r="C6" s="14">
        <f t="shared" si="1"/>
        <v>0.55902777777777768</v>
      </c>
      <c r="D6" s="4">
        <v>6.9444444444444441E-3</v>
      </c>
      <c r="E6" s="20">
        <f t="shared" si="2"/>
        <v>0</v>
      </c>
      <c r="F6" s="3"/>
      <c r="G6" s="16">
        <f t="shared" ref="G6:G9" si="4">F6-E6</f>
        <v>0</v>
      </c>
      <c r="H6" s="18"/>
    </row>
    <row r="7" spans="1:10" ht="30" x14ac:dyDescent="0.25">
      <c r="A7" s="30" t="s">
        <v>14</v>
      </c>
      <c r="B7" s="20">
        <f t="shared" si="0"/>
        <v>0.55902777777777768</v>
      </c>
      <c r="C7" s="14">
        <f t="shared" ref="C7:C15" si="5">B7+D7</f>
        <v>0.56249999999999989</v>
      </c>
      <c r="D7" s="4">
        <v>3.472222222222222E-3</v>
      </c>
      <c r="E7" s="20">
        <f t="shared" si="2"/>
        <v>0</v>
      </c>
      <c r="F7" s="3"/>
      <c r="G7" s="16">
        <f t="shared" si="4"/>
        <v>0</v>
      </c>
      <c r="H7" s="18"/>
    </row>
    <row r="8" spans="1:10" ht="45" x14ac:dyDescent="0.25">
      <c r="A8" s="30" t="s">
        <v>16</v>
      </c>
      <c r="B8" s="20">
        <f t="shared" si="0"/>
        <v>0.56249999999999989</v>
      </c>
      <c r="C8" s="14">
        <f t="shared" si="5"/>
        <v>0.56944444444444431</v>
      </c>
      <c r="D8" s="4">
        <v>6.9444444444444441E-3</v>
      </c>
      <c r="E8" s="20">
        <f t="shared" si="2"/>
        <v>0</v>
      </c>
      <c r="F8" s="3"/>
      <c r="G8" s="16">
        <f t="shared" si="4"/>
        <v>0</v>
      </c>
      <c r="H8" s="18"/>
    </row>
    <row r="9" spans="1:10" ht="45" x14ac:dyDescent="0.25">
      <c r="A9" s="30" t="s">
        <v>17</v>
      </c>
      <c r="B9" s="20">
        <f t="shared" si="0"/>
        <v>0.56944444444444431</v>
      </c>
      <c r="C9" s="14">
        <f t="shared" si="5"/>
        <v>0.57638888888888873</v>
      </c>
      <c r="D9" s="4">
        <v>6.9444444444444441E-3</v>
      </c>
      <c r="E9" s="20">
        <f t="shared" si="2"/>
        <v>0</v>
      </c>
      <c r="F9" s="3"/>
      <c r="G9" s="16">
        <f t="shared" si="4"/>
        <v>0</v>
      </c>
      <c r="H9" s="18"/>
    </row>
    <row r="10" spans="1:10" ht="30" x14ac:dyDescent="0.25">
      <c r="A10" s="30" t="s">
        <v>18</v>
      </c>
      <c r="B10" s="20">
        <f t="shared" si="0"/>
        <v>0.57638888888888873</v>
      </c>
      <c r="C10" s="14">
        <f t="shared" ref="C10" si="6">B10+D10</f>
        <v>0.59027777777777757</v>
      </c>
      <c r="D10" s="4">
        <v>1.3888888888888888E-2</v>
      </c>
      <c r="E10" s="20">
        <f t="shared" si="2"/>
        <v>0</v>
      </c>
      <c r="F10" s="3"/>
      <c r="G10" s="16">
        <f t="shared" ref="G10:G17" si="7">F10-E10</f>
        <v>0</v>
      </c>
      <c r="H10" s="18"/>
    </row>
    <row r="11" spans="1:10" x14ac:dyDescent="0.25">
      <c r="A11" s="29" t="s">
        <v>15</v>
      </c>
      <c r="B11" s="20">
        <f t="shared" si="0"/>
        <v>0.59027777777777757</v>
      </c>
      <c r="C11" s="14">
        <f t="shared" si="5"/>
        <v>0.59722222222222199</v>
      </c>
      <c r="D11" s="4">
        <v>6.9444444444444441E-3</v>
      </c>
      <c r="E11" s="20">
        <f t="shared" si="2"/>
        <v>0</v>
      </c>
      <c r="F11" s="3"/>
      <c r="G11" s="16">
        <f t="shared" si="7"/>
        <v>0</v>
      </c>
      <c r="H11" s="18"/>
    </row>
    <row r="12" spans="1:10" x14ac:dyDescent="0.25">
      <c r="A12" s="29" t="s">
        <v>7</v>
      </c>
      <c r="B12" s="20">
        <f t="shared" ref="B12:B18" si="8">C11</f>
        <v>0.59722222222222199</v>
      </c>
      <c r="C12" s="14">
        <f t="shared" ref="C12:C18" si="9">B12+D12</f>
        <v>0.61111111111111083</v>
      </c>
      <c r="D12" s="4">
        <v>1.3888888888888888E-2</v>
      </c>
      <c r="E12" s="20">
        <f t="shared" ref="E12" si="10">F11</f>
        <v>0</v>
      </c>
      <c r="F12" s="3"/>
      <c r="G12" s="16">
        <f t="shared" ref="G12" si="11">F12-E12</f>
        <v>0</v>
      </c>
      <c r="H12" s="18"/>
    </row>
    <row r="13" spans="1:10" ht="30" x14ac:dyDescent="0.25">
      <c r="A13" s="30" t="s">
        <v>19</v>
      </c>
      <c r="B13" s="20">
        <f t="shared" si="8"/>
        <v>0.61111111111111083</v>
      </c>
      <c r="C13" s="14">
        <f t="shared" si="9"/>
        <v>0.62499999999999967</v>
      </c>
      <c r="D13" s="4">
        <v>1.3888888888888888E-2</v>
      </c>
      <c r="E13" s="20">
        <f>F11</f>
        <v>0</v>
      </c>
      <c r="F13" s="3"/>
      <c r="G13" s="16">
        <f t="shared" si="7"/>
        <v>0</v>
      </c>
      <c r="H13" s="18"/>
    </row>
    <row r="14" spans="1:10" x14ac:dyDescent="0.25">
      <c r="A14" s="30" t="s">
        <v>20</v>
      </c>
      <c r="B14" s="20">
        <f t="shared" si="8"/>
        <v>0.62499999999999967</v>
      </c>
      <c r="C14" s="14">
        <f t="shared" si="9"/>
        <v>0.63194444444444409</v>
      </c>
      <c r="D14" s="4">
        <v>6.9444444444444441E-3</v>
      </c>
      <c r="E14" s="20">
        <f t="shared" si="2"/>
        <v>0</v>
      </c>
      <c r="F14" s="3"/>
      <c r="G14" s="16">
        <f t="shared" si="7"/>
        <v>0</v>
      </c>
      <c r="H14" s="18"/>
    </row>
    <row r="15" spans="1:10" ht="30" x14ac:dyDescent="0.25">
      <c r="A15" s="30" t="s">
        <v>21</v>
      </c>
      <c r="B15" s="20">
        <f t="shared" si="8"/>
        <v>0.63194444444444409</v>
      </c>
      <c r="C15" s="14">
        <f t="shared" si="9"/>
        <v>0.64583333333333293</v>
      </c>
      <c r="D15" s="4">
        <v>1.3888888888888888E-2</v>
      </c>
      <c r="E15" s="20">
        <f t="shared" si="2"/>
        <v>0</v>
      </c>
      <c r="F15" s="3"/>
      <c r="G15" s="16">
        <f t="shared" si="7"/>
        <v>0</v>
      </c>
      <c r="H15" s="18"/>
    </row>
    <row r="16" spans="1:10" ht="30" x14ac:dyDescent="0.25">
      <c r="A16" s="30" t="s">
        <v>22</v>
      </c>
      <c r="B16" s="20">
        <f t="shared" si="8"/>
        <v>0.64583333333333293</v>
      </c>
      <c r="C16" s="14">
        <f t="shared" si="9"/>
        <v>0.65277777777777735</v>
      </c>
      <c r="D16" s="4">
        <v>6.9444444444444441E-3</v>
      </c>
      <c r="E16" s="20">
        <f t="shared" si="2"/>
        <v>0</v>
      </c>
      <c r="F16" s="3"/>
      <c r="G16" s="16">
        <f t="shared" si="7"/>
        <v>0</v>
      </c>
      <c r="H16" s="18"/>
    </row>
    <row r="17" spans="1:9" x14ac:dyDescent="0.25">
      <c r="A17" s="29" t="s">
        <v>23</v>
      </c>
      <c r="B17" s="20">
        <f t="shared" si="8"/>
        <v>0.65277777777777735</v>
      </c>
      <c r="C17" s="14">
        <f t="shared" si="9"/>
        <v>0.65972222222222177</v>
      </c>
      <c r="D17" s="4">
        <v>6.9444444444444441E-3</v>
      </c>
      <c r="E17" s="20">
        <f t="shared" si="2"/>
        <v>0</v>
      </c>
      <c r="F17" s="3"/>
      <c r="G17" s="16">
        <f t="shared" si="7"/>
        <v>0</v>
      </c>
      <c r="H17" s="18"/>
    </row>
    <row r="18" spans="1:9" ht="30" x14ac:dyDescent="0.25">
      <c r="A18" s="30" t="s">
        <v>24</v>
      </c>
      <c r="B18" s="20">
        <f t="shared" si="8"/>
        <v>0.65972222222222177</v>
      </c>
      <c r="C18" s="14">
        <f t="shared" si="9"/>
        <v>0.66666666666666619</v>
      </c>
      <c r="D18" s="4">
        <v>6.9444444444444441E-3</v>
      </c>
      <c r="E18" s="20"/>
      <c r="F18" s="3"/>
      <c r="G18" s="16"/>
      <c r="H18" s="18"/>
    </row>
    <row r="19" spans="1:9" x14ac:dyDescent="0.25">
      <c r="A19" s="30"/>
      <c r="B19" s="20"/>
      <c r="C19" s="14"/>
      <c r="D19" s="4"/>
      <c r="E19" s="20"/>
      <c r="F19" s="3"/>
      <c r="G19" s="16"/>
      <c r="H19" s="18"/>
    </row>
    <row r="20" spans="1:9" x14ac:dyDescent="0.25">
      <c r="A20" s="30"/>
      <c r="B20" s="20"/>
      <c r="C20" s="14"/>
      <c r="D20" s="4"/>
      <c r="E20" s="20"/>
      <c r="F20" s="3"/>
      <c r="G20" s="16"/>
      <c r="H20" s="18"/>
    </row>
    <row r="21" spans="1:9" x14ac:dyDescent="0.25">
      <c r="A21" s="30"/>
      <c r="B21" s="20"/>
      <c r="C21" s="14"/>
      <c r="D21" s="4"/>
      <c r="E21" s="20"/>
      <c r="F21" s="3"/>
      <c r="G21" s="16"/>
      <c r="H21" s="18"/>
    </row>
    <row r="22" spans="1:9" x14ac:dyDescent="0.25">
      <c r="A22" s="30"/>
      <c r="B22" s="20"/>
      <c r="C22" s="14"/>
      <c r="D22" s="5"/>
      <c r="E22" s="20"/>
      <c r="F22" s="9"/>
      <c r="G22" s="16"/>
      <c r="H22" s="18"/>
    </row>
    <row r="23" spans="1:9" x14ac:dyDescent="0.25">
      <c r="A23" s="30"/>
      <c r="B23" s="20"/>
      <c r="C23" s="14"/>
      <c r="D23" s="4"/>
      <c r="E23" s="20"/>
      <c r="F23" s="3"/>
      <c r="G23" s="16"/>
      <c r="H23" s="18"/>
    </row>
    <row r="24" spans="1:9" x14ac:dyDescent="0.25">
      <c r="A24" s="30"/>
      <c r="B24" s="20"/>
      <c r="C24" s="14"/>
      <c r="D24" s="4"/>
      <c r="E24" s="20"/>
      <c r="F24" s="3"/>
      <c r="G24" s="16"/>
      <c r="H24" s="18"/>
    </row>
    <row r="25" spans="1:9" x14ac:dyDescent="0.25">
      <c r="A25" s="30"/>
      <c r="B25" s="20"/>
      <c r="C25" s="14"/>
      <c r="D25" s="4"/>
      <c r="E25" s="20"/>
      <c r="F25" s="3"/>
      <c r="G25" s="16"/>
      <c r="H25" s="18"/>
    </row>
    <row r="26" spans="1:9" ht="15.75" thickBot="1" x14ac:dyDescent="0.3">
      <c r="A26" s="30"/>
      <c r="B26" s="21"/>
      <c r="C26" s="15"/>
      <c r="D26" s="11"/>
      <c r="E26" s="21"/>
      <c r="F26" s="10"/>
      <c r="G26" s="17"/>
      <c r="H26" s="18"/>
      <c r="I26" s="1"/>
    </row>
    <row r="27" spans="1:9" x14ac:dyDescent="0.25">
      <c r="B27" s="1"/>
      <c r="C27" s="1"/>
      <c r="D27" s="1"/>
      <c r="E27" s="1"/>
      <c r="F27" s="1"/>
      <c r="G27" s="1"/>
      <c r="H27" s="19"/>
    </row>
  </sheetData>
  <mergeCells count="2">
    <mergeCell ref="E2:G2"/>
    <mergeCell ref="B2:D2"/>
  </mergeCells>
  <pageMargins left="0.7" right="0.7" top="0.75" bottom="0.75" header="0.3" footer="0.3"/>
  <headerFooter>
    <oddFooter>&amp;L_x000D_&amp;1#&amp;"Trebuchet MS"&amp;9&amp;K008542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19A6-1EB5-4619-86C7-7A26F1B74E8F}">
  <dimension ref="A1:J28"/>
  <sheetViews>
    <sheetView zoomScale="115" zoomScaleNormal="115" workbookViewId="0">
      <selection activeCell="B12" sqref="B12"/>
    </sheetView>
  </sheetViews>
  <sheetFormatPr defaultRowHeight="15" x14ac:dyDescent="0.25"/>
  <cols>
    <col min="1" max="1" width="30.28515625" style="28" bestFit="1" customWidth="1"/>
    <col min="8" max="8" width="9" style="13" customWidth="1"/>
  </cols>
  <sheetData>
    <row r="1" spans="1:10" ht="15.75" thickBot="1" x14ac:dyDescent="0.3"/>
    <row r="2" spans="1:10" ht="15.75" thickBot="1" x14ac:dyDescent="0.3">
      <c r="B2" s="25" t="s">
        <v>0</v>
      </c>
      <c r="C2" s="26"/>
      <c r="D2" s="27"/>
      <c r="E2" s="25" t="s">
        <v>1</v>
      </c>
      <c r="F2" s="26"/>
      <c r="G2" s="27"/>
      <c r="J2" s="22" t="s">
        <v>11</v>
      </c>
    </row>
    <row r="3" spans="1:10" ht="15.75" thickBot="1" x14ac:dyDescent="0.3">
      <c r="A3" s="29" t="s">
        <v>2</v>
      </c>
      <c r="B3" s="6" t="s">
        <v>3</v>
      </c>
      <c r="C3" s="7" t="s">
        <v>4</v>
      </c>
      <c r="D3" s="8" t="s">
        <v>5</v>
      </c>
      <c r="E3" s="6" t="s">
        <v>3</v>
      </c>
      <c r="F3" s="7" t="s">
        <v>4</v>
      </c>
      <c r="G3" s="8" t="s">
        <v>5</v>
      </c>
      <c r="H3" s="12" t="s">
        <v>8</v>
      </c>
      <c r="J3" s="23" t="s">
        <v>10</v>
      </c>
    </row>
    <row r="4" spans="1:10" ht="30" x14ac:dyDescent="0.25">
      <c r="A4" s="30" t="s">
        <v>12</v>
      </c>
      <c r="B4" s="2">
        <v>0.54166666666666663</v>
      </c>
      <c r="C4" s="14">
        <f>B4+D4</f>
        <v>0.54861111111111105</v>
      </c>
      <c r="D4" s="4">
        <v>6.9444444444444441E-3</v>
      </c>
      <c r="E4" s="2"/>
      <c r="F4" s="3"/>
      <c r="G4" s="16">
        <f>F4-E4</f>
        <v>0</v>
      </c>
      <c r="H4" s="18"/>
      <c r="J4" s="24" t="s">
        <v>9</v>
      </c>
    </row>
    <row r="5" spans="1:10" x14ac:dyDescent="0.25">
      <c r="A5" s="29" t="s">
        <v>25</v>
      </c>
      <c r="B5" s="20">
        <f t="shared" ref="B5:B18" si="0">C4</f>
        <v>0.54861111111111105</v>
      </c>
      <c r="C5" s="14">
        <f t="shared" ref="C5:C18" si="1">B5+D5</f>
        <v>0.55902777777777768</v>
      </c>
      <c r="D5" s="4">
        <v>1.0416666666666666E-2</v>
      </c>
      <c r="E5" s="20">
        <f t="shared" ref="E5:E18" si="2">F4</f>
        <v>0</v>
      </c>
      <c r="F5" s="3"/>
      <c r="G5" s="16">
        <f t="shared" ref="G5:G18" si="3">F5-E5</f>
        <v>0</v>
      </c>
      <c r="H5" s="18"/>
    </row>
    <row r="6" spans="1:10" x14ac:dyDescent="0.25">
      <c r="A6" s="30" t="s">
        <v>26</v>
      </c>
      <c r="B6" s="20">
        <f t="shared" si="0"/>
        <v>0.55902777777777768</v>
      </c>
      <c r="C6" s="14">
        <f t="shared" si="1"/>
        <v>0.5659722222222221</v>
      </c>
      <c r="D6" s="4">
        <v>6.9444444444444441E-3</v>
      </c>
      <c r="E6" s="20">
        <f t="shared" si="2"/>
        <v>0</v>
      </c>
      <c r="F6" s="3"/>
      <c r="G6" s="16">
        <f t="shared" si="3"/>
        <v>0</v>
      </c>
      <c r="H6" s="18"/>
    </row>
    <row r="7" spans="1:10" x14ac:dyDescent="0.25">
      <c r="A7" s="30" t="s">
        <v>27</v>
      </c>
      <c r="B7" s="20">
        <f t="shared" si="0"/>
        <v>0.5659722222222221</v>
      </c>
      <c r="C7" s="14">
        <f t="shared" si="1"/>
        <v>0.57291666666666652</v>
      </c>
      <c r="D7" s="4">
        <v>6.9444444444444441E-3</v>
      </c>
      <c r="E7" s="20">
        <f t="shared" si="2"/>
        <v>0</v>
      </c>
      <c r="F7" s="3"/>
      <c r="G7" s="16">
        <f t="shared" si="3"/>
        <v>0</v>
      </c>
      <c r="H7" s="18"/>
    </row>
    <row r="8" spans="1:10" x14ac:dyDescent="0.25">
      <c r="A8" s="30" t="s">
        <v>28</v>
      </c>
      <c r="B8" s="20">
        <f t="shared" si="0"/>
        <v>0.57291666666666652</v>
      </c>
      <c r="C8" s="14">
        <f t="shared" si="1"/>
        <v>0.58333333333333315</v>
      </c>
      <c r="D8" s="4">
        <v>1.0416666666666666E-2</v>
      </c>
      <c r="E8" s="20">
        <f t="shared" si="2"/>
        <v>0</v>
      </c>
      <c r="F8" s="3"/>
      <c r="G8" s="16">
        <f t="shared" si="3"/>
        <v>0</v>
      </c>
      <c r="H8" s="18"/>
    </row>
    <row r="9" spans="1:10" ht="30" x14ac:dyDescent="0.25">
      <c r="A9" s="30" t="s">
        <v>29</v>
      </c>
      <c r="B9" s="20">
        <f t="shared" si="0"/>
        <v>0.58333333333333315</v>
      </c>
      <c r="C9" s="14">
        <f t="shared" si="1"/>
        <v>0.59027777777777757</v>
      </c>
      <c r="D9" s="4">
        <v>6.9444444444444441E-3</v>
      </c>
      <c r="E9" s="20">
        <f t="shared" si="2"/>
        <v>0</v>
      </c>
      <c r="F9" s="3"/>
      <c r="G9" s="16">
        <f t="shared" si="3"/>
        <v>0</v>
      </c>
      <c r="H9" s="18"/>
    </row>
    <row r="10" spans="1:10" ht="30" x14ac:dyDescent="0.25">
      <c r="A10" s="30" t="s">
        <v>30</v>
      </c>
      <c r="B10" s="20">
        <f t="shared" si="0"/>
        <v>0.59027777777777757</v>
      </c>
      <c r="C10" s="14">
        <f t="shared" si="1"/>
        <v>0.59722222222222199</v>
      </c>
      <c r="D10" s="4">
        <v>6.9444444444444441E-3</v>
      </c>
      <c r="E10" s="20">
        <f t="shared" si="2"/>
        <v>0</v>
      </c>
      <c r="F10" s="3"/>
      <c r="G10" s="16">
        <f t="shared" si="3"/>
        <v>0</v>
      </c>
      <c r="H10" s="18"/>
    </row>
    <row r="11" spans="1:10" x14ac:dyDescent="0.25">
      <c r="A11" s="29" t="s">
        <v>15</v>
      </c>
      <c r="B11" s="20">
        <f t="shared" si="0"/>
        <v>0.59722222222222199</v>
      </c>
      <c r="C11" s="14">
        <f t="shared" si="1"/>
        <v>0.60763888888888862</v>
      </c>
      <c r="D11" s="4">
        <v>1.0416666666666666E-2</v>
      </c>
      <c r="E11" s="20">
        <f t="shared" si="2"/>
        <v>0</v>
      </c>
      <c r="F11" s="3"/>
      <c r="G11" s="16">
        <f t="shared" si="3"/>
        <v>0</v>
      </c>
      <c r="H11" s="18"/>
    </row>
    <row r="12" spans="1:10" x14ac:dyDescent="0.25">
      <c r="A12" s="29" t="s">
        <v>7</v>
      </c>
      <c r="B12" s="20">
        <f t="shared" si="0"/>
        <v>0.60763888888888862</v>
      </c>
      <c r="C12" s="14">
        <f t="shared" si="1"/>
        <v>0.62152777777777746</v>
      </c>
      <c r="D12" s="4">
        <v>1.3888888888888888E-2</v>
      </c>
      <c r="E12" s="20">
        <f>F10</f>
        <v>0</v>
      </c>
      <c r="F12" s="3"/>
      <c r="G12" s="16">
        <f t="shared" ref="G12" si="4">F12-E12</f>
        <v>0</v>
      </c>
      <c r="H12" s="18"/>
    </row>
    <row r="13" spans="1:10" x14ac:dyDescent="0.25">
      <c r="A13" s="30" t="s">
        <v>31</v>
      </c>
      <c r="B13" s="20">
        <f t="shared" si="0"/>
        <v>0.62152777777777746</v>
      </c>
      <c r="C13" s="14">
        <f t="shared" si="1"/>
        <v>0.62847222222222188</v>
      </c>
      <c r="D13" s="4">
        <v>6.9444444444444441E-3</v>
      </c>
      <c r="E13" s="20">
        <f t="shared" ref="E13:E18" si="5">F11</f>
        <v>0</v>
      </c>
      <c r="F13" s="3"/>
      <c r="G13" s="16">
        <f t="shared" si="3"/>
        <v>0</v>
      </c>
      <c r="H13" s="18"/>
    </row>
    <row r="14" spans="1:10" x14ac:dyDescent="0.25">
      <c r="A14" s="30" t="s">
        <v>32</v>
      </c>
      <c r="B14" s="20">
        <f t="shared" si="0"/>
        <v>0.62847222222222188</v>
      </c>
      <c r="C14" s="14">
        <f t="shared" si="1"/>
        <v>0.6354166666666663</v>
      </c>
      <c r="D14" s="4">
        <v>6.9444444444444441E-3</v>
      </c>
      <c r="E14" s="20">
        <f t="shared" si="5"/>
        <v>0</v>
      </c>
      <c r="F14" s="3"/>
      <c r="G14" s="16">
        <f t="shared" si="3"/>
        <v>0</v>
      </c>
      <c r="H14" s="18"/>
    </row>
    <row r="15" spans="1:10" ht="30" x14ac:dyDescent="0.25">
      <c r="A15" s="30" t="s">
        <v>33</v>
      </c>
      <c r="B15" s="20">
        <f t="shared" si="0"/>
        <v>0.6354166666666663</v>
      </c>
      <c r="C15" s="14">
        <f t="shared" si="1"/>
        <v>0.64236111111111072</v>
      </c>
      <c r="D15" s="4">
        <v>6.9444444444444441E-3</v>
      </c>
      <c r="E15" s="20">
        <f t="shared" si="5"/>
        <v>0</v>
      </c>
      <c r="F15" s="3"/>
      <c r="G15" s="16">
        <f t="shared" si="3"/>
        <v>0</v>
      </c>
      <c r="H15" s="18"/>
    </row>
    <row r="16" spans="1:10" x14ac:dyDescent="0.25">
      <c r="A16" s="29" t="s">
        <v>23</v>
      </c>
      <c r="B16" s="20">
        <f t="shared" si="0"/>
        <v>0.64236111111111072</v>
      </c>
      <c r="C16" s="14">
        <f t="shared" si="1"/>
        <v>0.65277777777777735</v>
      </c>
      <c r="D16" s="4">
        <v>1.0416666666666666E-2</v>
      </c>
      <c r="E16" s="20">
        <f t="shared" si="5"/>
        <v>0</v>
      </c>
      <c r="F16" s="3"/>
      <c r="G16" s="16">
        <f t="shared" si="3"/>
        <v>0</v>
      </c>
      <c r="H16" s="18"/>
    </row>
    <row r="17" spans="1:9" x14ac:dyDescent="0.25">
      <c r="A17" s="29" t="s">
        <v>34</v>
      </c>
      <c r="B17" s="20">
        <f t="shared" si="0"/>
        <v>0.65277777777777735</v>
      </c>
      <c r="C17" s="14">
        <f t="shared" si="1"/>
        <v>0.65972222222222177</v>
      </c>
      <c r="D17" s="4">
        <v>6.9444444444444441E-3</v>
      </c>
      <c r="E17" s="20">
        <f t="shared" si="5"/>
        <v>0</v>
      </c>
      <c r="F17" s="3"/>
      <c r="G17" s="16">
        <f t="shared" si="3"/>
        <v>0</v>
      </c>
      <c r="H17" s="18"/>
    </row>
    <row r="18" spans="1:9" x14ac:dyDescent="0.25">
      <c r="A18" s="29" t="s">
        <v>35</v>
      </c>
      <c r="B18" s="20">
        <f t="shared" si="0"/>
        <v>0.65972222222222177</v>
      </c>
      <c r="C18" s="14">
        <f t="shared" si="1"/>
        <v>0.66319444444444398</v>
      </c>
      <c r="D18" s="4">
        <v>3.472222222222222E-3</v>
      </c>
      <c r="E18" s="20">
        <f t="shared" si="5"/>
        <v>0</v>
      </c>
      <c r="F18" s="3"/>
      <c r="G18" s="16">
        <f t="shared" si="3"/>
        <v>0</v>
      </c>
      <c r="H18" s="18"/>
    </row>
    <row r="19" spans="1:9" x14ac:dyDescent="0.25">
      <c r="A19" s="30"/>
      <c r="B19" s="20"/>
      <c r="C19" s="14"/>
      <c r="D19" s="4"/>
      <c r="E19" s="20"/>
      <c r="F19" s="3"/>
      <c r="G19" s="16"/>
      <c r="H19" s="18"/>
    </row>
    <row r="20" spans="1:9" x14ac:dyDescent="0.25">
      <c r="A20" s="30"/>
      <c r="B20" s="20"/>
      <c r="C20" s="14"/>
      <c r="D20" s="4"/>
      <c r="E20" s="20"/>
      <c r="F20" s="3"/>
      <c r="G20" s="16"/>
      <c r="H20" s="18"/>
    </row>
    <row r="21" spans="1:9" x14ac:dyDescent="0.25">
      <c r="A21" s="30"/>
      <c r="B21" s="20"/>
      <c r="C21" s="14"/>
      <c r="D21" s="4"/>
      <c r="E21" s="20"/>
      <c r="F21" s="3"/>
      <c r="G21" s="16"/>
      <c r="H21" s="18"/>
    </row>
    <row r="22" spans="1:9" x14ac:dyDescent="0.25">
      <c r="A22" s="30"/>
      <c r="B22" s="20"/>
      <c r="C22" s="14"/>
      <c r="D22" s="4"/>
      <c r="E22" s="20"/>
      <c r="F22" s="3"/>
      <c r="G22" s="16"/>
      <c r="H22" s="18"/>
    </row>
    <row r="23" spans="1:9" x14ac:dyDescent="0.25">
      <c r="A23" s="30"/>
      <c r="B23" s="20"/>
      <c r="C23" s="14"/>
      <c r="D23" s="5"/>
      <c r="E23" s="20"/>
      <c r="F23" s="9"/>
      <c r="G23" s="16"/>
      <c r="H23" s="18"/>
    </row>
    <row r="24" spans="1:9" x14ac:dyDescent="0.25">
      <c r="A24" s="30"/>
      <c r="B24" s="20"/>
      <c r="C24" s="14"/>
      <c r="D24" s="4"/>
      <c r="E24" s="20"/>
      <c r="F24" s="3"/>
      <c r="G24" s="16"/>
      <c r="H24" s="18"/>
    </row>
    <row r="25" spans="1:9" x14ac:dyDescent="0.25">
      <c r="A25" s="30"/>
      <c r="B25" s="20"/>
      <c r="C25" s="14"/>
      <c r="D25" s="4"/>
      <c r="E25" s="20"/>
      <c r="F25" s="3"/>
      <c r="G25" s="16"/>
      <c r="H25" s="18"/>
    </row>
    <row r="26" spans="1:9" x14ac:dyDescent="0.25">
      <c r="A26" s="30"/>
      <c r="B26" s="20"/>
      <c r="C26" s="14"/>
      <c r="D26" s="4"/>
      <c r="E26" s="20"/>
      <c r="F26" s="3"/>
      <c r="G26" s="16"/>
      <c r="H26" s="18"/>
    </row>
    <row r="27" spans="1:9" ht="15.75" thickBot="1" x14ac:dyDescent="0.3">
      <c r="A27" s="30"/>
      <c r="B27" s="21"/>
      <c r="C27" s="15"/>
      <c r="D27" s="11"/>
      <c r="E27" s="21"/>
      <c r="F27" s="10"/>
      <c r="G27" s="17"/>
      <c r="H27" s="18"/>
      <c r="I27" s="1"/>
    </row>
    <row r="28" spans="1:9" x14ac:dyDescent="0.25">
      <c r="B28" s="1"/>
      <c r="C28" s="1"/>
      <c r="D28" s="1"/>
      <c r="E28" s="1"/>
      <c r="F28" s="1"/>
      <c r="G28" s="1"/>
      <c r="H28" s="19"/>
    </row>
  </sheetData>
  <mergeCells count="2">
    <mergeCell ref="B2:D2"/>
    <mergeCell ref="E2:G2"/>
  </mergeCells>
  <pageMargins left="0.7" right="0.7" top="0.75" bottom="0.75" header="0.3" footer="0.3"/>
  <headerFooter>
    <oddFooter>&amp;L_x000D_&amp;1#&amp;"Trebuchet MS"&amp;9&amp;K008542 INTERNA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8FB6-0664-4226-9D5B-616D60A74794}">
  <dimension ref="A1:J26"/>
  <sheetViews>
    <sheetView zoomScale="115" zoomScaleNormal="115" workbookViewId="0">
      <selection activeCell="N23" sqref="N23"/>
    </sheetView>
  </sheetViews>
  <sheetFormatPr defaultRowHeight="15" x14ac:dyDescent="0.25"/>
  <cols>
    <col min="1" max="1" width="30.28515625" style="28" bestFit="1" customWidth="1"/>
    <col min="8" max="8" width="9" style="13" customWidth="1"/>
  </cols>
  <sheetData>
    <row r="1" spans="1:10" ht="15.75" thickBot="1" x14ac:dyDescent="0.3"/>
    <row r="2" spans="1:10" ht="15.75" thickBot="1" x14ac:dyDescent="0.3">
      <c r="B2" s="25" t="s">
        <v>0</v>
      </c>
      <c r="C2" s="26"/>
      <c r="D2" s="27"/>
      <c r="E2" s="25" t="s">
        <v>1</v>
      </c>
      <c r="F2" s="26"/>
      <c r="G2" s="27"/>
      <c r="J2" s="22" t="s">
        <v>11</v>
      </c>
    </row>
    <row r="3" spans="1:10" ht="15.75" thickBot="1" x14ac:dyDescent="0.3">
      <c r="A3" s="29" t="s">
        <v>2</v>
      </c>
      <c r="B3" s="6" t="s">
        <v>3</v>
      </c>
      <c r="C3" s="7" t="s">
        <v>4</v>
      </c>
      <c r="D3" s="8" t="s">
        <v>5</v>
      </c>
      <c r="E3" s="6" t="s">
        <v>3</v>
      </c>
      <c r="F3" s="7" t="s">
        <v>4</v>
      </c>
      <c r="G3" s="8" t="s">
        <v>5</v>
      </c>
      <c r="H3" s="12" t="s">
        <v>8</v>
      </c>
      <c r="J3" s="23" t="s">
        <v>10</v>
      </c>
    </row>
    <row r="4" spans="1:10" ht="30" x14ac:dyDescent="0.25">
      <c r="A4" s="30" t="s">
        <v>12</v>
      </c>
      <c r="B4" s="2">
        <v>0.54166666666666663</v>
      </c>
      <c r="C4" s="14">
        <f>B4+D4</f>
        <v>0.54861111111111105</v>
      </c>
      <c r="D4" s="4">
        <v>6.9444444444444441E-3</v>
      </c>
      <c r="E4" s="2"/>
      <c r="F4" s="3"/>
      <c r="G4" s="16">
        <f>F4-E4</f>
        <v>0</v>
      </c>
      <c r="H4" s="18"/>
      <c r="J4" s="24" t="s">
        <v>9</v>
      </c>
    </row>
    <row r="5" spans="1:10" x14ac:dyDescent="0.25">
      <c r="A5" s="29" t="s">
        <v>25</v>
      </c>
      <c r="B5" s="20">
        <f t="shared" ref="B5:B14" si="0">C4</f>
        <v>0.54861111111111105</v>
      </c>
      <c r="C5" s="14">
        <f t="shared" ref="C5:C16" si="1">B5+D5</f>
        <v>0.55902777777777768</v>
      </c>
      <c r="D5" s="4">
        <v>1.0416666666666666E-2</v>
      </c>
      <c r="E5" s="20">
        <f t="shared" ref="E5:E14" si="2">F4</f>
        <v>0</v>
      </c>
      <c r="F5" s="3"/>
      <c r="G5" s="16">
        <f t="shared" ref="G5:G16" si="3">F5-E5</f>
        <v>0</v>
      </c>
      <c r="H5" s="18"/>
    </row>
    <row r="6" spans="1:10" x14ac:dyDescent="0.25">
      <c r="A6" s="30" t="s">
        <v>36</v>
      </c>
      <c r="B6" s="20">
        <f t="shared" si="0"/>
        <v>0.55902777777777768</v>
      </c>
      <c r="C6" s="14">
        <f t="shared" si="1"/>
        <v>0.56944444444444431</v>
      </c>
      <c r="D6" s="4">
        <v>1.0416666666666666E-2</v>
      </c>
      <c r="E6" s="20">
        <f t="shared" si="2"/>
        <v>0</v>
      </c>
      <c r="F6" s="3"/>
      <c r="G6" s="16">
        <f t="shared" si="3"/>
        <v>0</v>
      </c>
      <c r="H6" s="18"/>
    </row>
    <row r="7" spans="1:10" x14ac:dyDescent="0.25">
      <c r="A7" s="30" t="s">
        <v>37</v>
      </c>
      <c r="B7" s="20">
        <f t="shared" si="0"/>
        <v>0.56944444444444431</v>
      </c>
      <c r="C7" s="14">
        <f t="shared" si="1"/>
        <v>0.57638888888888873</v>
      </c>
      <c r="D7" s="4">
        <v>6.9444444444444441E-3</v>
      </c>
      <c r="E7" s="20">
        <f t="shared" si="2"/>
        <v>0</v>
      </c>
      <c r="F7" s="3"/>
      <c r="G7" s="16">
        <f t="shared" si="3"/>
        <v>0</v>
      </c>
      <c r="H7" s="18"/>
    </row>
    <row r="8" spans="1:10" ht="30" x14ac:dyDescent="0.25">
      <c r="A8" s="30" t="s">
        <v>38</v>
      </c>
      <c r="B8" s="20">
        <f t="shared" si="0"/>
        <v>0.57638888888888873</v>
      </c>
      <c r="C8" s="14">
        <f t="shared" si="1"/>
        <v>0.58333333333333315</v>
      </c>
      <c r="D8" s="4">
        <v>6.9444444444444441E-3</v>
      </c>
      <c r="E8" s="20">
        <f>F7</f>
        <v>0</v>
      </c>
      <c r="F8" s="3"/>
      <c r="G8" s="16">
        <f t="shared" si="3"/>
        <v>0</v>
      </c>
      <c r="H8" s="18"/>
    </row>
    <row r="9" spans="1:10" x14ac:dyDescent="0.25">
      <c r="A9" s="29" t="s">
        <v>15</v>
      </c>
      <c r="B9" s="20">
        <f t="shared" si="0"/>
        <v>0.58333333333333315</v>
      </c>
      <c r="C9" s="14">
        <f t="shared" si="1"/>
        <v>0.59374999999999978</v>
      </c>
      <c r="D9" s="4">
        <v>1.0416666666666666E-2</v>
      </c>
      <c r="E9" s="20">
        <f t="shared" ref="E9" si="4">F8</f>
        <v>0</v>
      </c>
      <c r="F9" s="3"/>
      <c r="G9" s="16">
        <f t="shared" ref="G9:G10" si="5">F9-E9</f>
        <v>0</v>
      </c>
      <c r="H9" s="18"/>
    </row>
    <row r="10" spans="1:10" x14ac:dyDescent="0.25">
      <c r="A10" s="29" t="s">
        <v>7</v>
      </c>
      <c r="B10" s="20">
        <f t="shared" si="0"/>
        <v>0.59374999999999978</v>
      </c>
      <c r="C10" s="14">
        <f t="shared" si="1"/>
        <v>0.60763888888888862</v>
      </c>
      <c r="D10" s="4">
        <v>1.3888888888888888E-2</v>
      </c>
      <c r="E10" s="20">
        <f>F8</f>
        <v>0</v>
      </c>
      <c r="F10" s="3"/>
      <c r="G10" s="16">
        <f t="shared" si="5"/>
        <v>0</v>
      </c>
      <c r="H10" s="18"/>
    </row>
    <row r="11" spans="1:10" x14ac:dyDescent="0.25">
      <c r="A11" s="30" t="s">
        <v>39</v>
      </c>
      <c r="B11" s="20">
        <f t="shared" si="0"/>
        <v>0.60763888888888862</v>
      </c>
      <c r="C11" s="14">
        <f t="shared" si="1"/>
        <v>0.62152777777777746</v>
      </c>
      <c r="D11" s="4">
        <v>1.3888888888888888E-2</v>
      </c>
      <c r="E11" s="20">
        <f>F8</f>
        <v>0</v>
      </c>
      <c r="F11" s="3"/>
      <c r="G11" s="16">
        <f t="shared" si="3"/>
        <v>0</v>
      </c>
      <c r="H11" s="18"/>
    </row>
    <row r="12" spans="1:10" ht="30" x14ac:dyDescent="0.25">
      <c r="A12" s="30" t="s">
        <v>40</v>
      </c>
      <c r="B12" s="20">
        <f t="shared" si="0"/>
        <v>0.62152777777777746</v>
      </c>
      <c r="C12" s="14">
        <f t="shared" si="1"/>
        <v>0.6354166666666663</v>
      </c>
      <c r="D12" s="4">
        <v>1.3888888888888888E-2</v>
      </c>
      <c r="E12" s="20">
        <f t="shared" si="2"/>
        <v>0</v>
      </c>
      <c r="F12" s="3"/>
      <c r="G12" s="16">
        <f t="shared" si="3"/>
        <v>0</v>
      </c>
      <c r="H12" s="18"/>
    </row>
    <row r="13" spans="1:10" x14ac:dyDescent="0.25">
      <c r="A13" s="30" t="s">
        <v>41</v>
      </c>
      <c r="B13" s="20">
        <f t="shared" si="0"/>
        <v>0.6354166666666663</v>
      </c>
      <c r="C13" s="14">
        <f t="shared" si="1"/>
        <v>0.64236111111111072</v>
      </c>
      <c r="D13" s="4">
        <v>6.9444444444444441E-3</v>
      </c>
      <c r="E13" s="20">
        <f t="shared" si="2"/>
        <v>0</v>
      </c>
      <c r="F13" s="3"/>
      <c r="G13" s="16">
        <f t="shared" si="3"/>
        <v>0</v>
      </c>
      <c r="H13" s="18"/>
    </row>
    <row r="14" spans="1:10" ht="30" x14ac:dyDescent="0.25">
      <c r="A14" s="30" t="s">
        <v>42</v>
      </c>
      <c r="B14" s="20">
        <f t="shared" si="0"/>
        <v>0.64236111111111072</v>
      </c>
      <c r="C14" s="14">
        <f t="shared" si="1"/>
        <v>0.64930555555555514</v>
      </c>
      <c r="D14" s="4">
        <v>6.9444444444444441E-3</v>
      </c>
      <c r="E14" s="20">
        <f t="shared" si="2"/>
        <v>0</v>
      </c>
      <c r="F14" s="3"/>
      <c r="G14" s="16">
        <f t="shared" si="3"/>
        <v>0</v>
      </c>
      <c r="H14" s="18"/>
    </row>
    <row r="15" spans="1:10" x14ac:dyDescent="0.25">
      <c r="A15" s="29" t="s">
        <v>23</v>
      </c>
      <c r="B15" s="20">
        <f t="shared" ref="B15:B16" si="6">C14</f>
        <v>0.64930555555555514</v>
      </c>
      <c r="C15" s="14">
        <f t="shared" ref="C15" si="7">B15+D15</f>
        <v>0.65972222222222177</v>
      </c>
      <c r="D15" s="4">
        <v>1.0416666666666666E-2</v>
      </c>
      <c r="E15" s="20">
        <f t="shared" ref="E15:E16" si="8">F14</f>
        <v>0</v>
      </c>
      <c r="F15" s="3"/>
      <c r="G15" s="16">
        <f t="shared" ref="G15" si="9">F15-E15</f>
        <v>0</v>
      </c>
      <c r="H15" s="18"/>
    </row>
    <row r="16" spans="1:10" x14ac:dyDescent="0.25">
      <c r="A16" s="29" t="s">
        <v>35</v>
      </c>
      <c r="B16" s="20">
        <f t="shared" si="6"/>
        <v>0.65972222222222177</v>
      </c>
      <c r="C16" s="14">
        <f t="shared" si="1"/>
        <v>0.66666666666666619</v>
      </c>
      <c r="D16" s="4">
        <v>6.9444444444444441E-3</v>
      </c>
      <c r="E16" s="20">
        <f t="shared" si="8"/>
        <v>0</v>
      </c>
      <c r="F16" s="3"/>
      <c r="G16" s="16">
        <f t="shared" si="3"/>
        <v>0</v>
      </c>
      <c r="H16" s="18"/>
    </row>
    <row r="17" spans="1:9" x14ac:dyDescent="0.25">
      <c r="A17" s="30"/>
      <c r="B17" s="20"/>
      <c r="C17" s="14"/>
      <c r="D17" s="4"/>
      <c r="E17" s="20"/>
      <c r="F17" s="3"/>
      <c r="G17" s="16"/>
      <c r="H17" s="18"/>
    </row>
    <row r="18" spans="1:9" x14ac:dyDescent="0.25">
      <c r="A18" s="30"/>
      <c r="B18" s="20"/>
      <c r="C18" s="14"/>
      <c r="D18" s="4"/>
      <c r="E18" s="20"/>
      <c r="F18" s="3"/>
      <c r="G18" s="16"/>
      <c r="H18" s="18"/>
    </row>
    <row r="19" spans="1:9" x14ac:dyDescent="0.25">
      <c r="A19" s="30"/>
      <c r="B19" s="20"/>
      <c r="C19" s="14"/>
      <c r="D19" s="4"/>
      <c r="E19" s="20"/>
      <c r="F19" s="3"/>
      <c r="G19" s="16"/>
      <c r="H19" s="18"/>
    </row>
    <row r="20" spans="1:9" x14ac:dyDescent="0.25">
      <c r="A20" s="30"/>
      <c r="B20" s="20"/>
      <c r="C20" s="14"/>
      <c r="D20" s="4"/>
      <c r="E20" s="20"/>
      <c r="F20" s="3"/>
      <c r="G20" s="16"/>
      <c r="H20" s="18"/>
    </row>
    <row r="21" spans="1:9" x14ac:dyDescent="0.25">
      <c r="A21" s="30"/>
      <c r="B21" s="20"/>
      <c r="C21" s="14"/>
      <c r="D21" s="5"/>
      <c r="E21" s="20"/>
      <c r="F21" s="9"/>
      <c r="G21" s="16"/>
      <c r="H21" s="18"/>
    </row>
    <row r="22" spans="1:9" x14ac:dyDescent="0.25">
      <c r="A22" s="30"/>
      <c r="B22" s="20"/>
      <c r="C22" s="14"/>
      <c r="D22" s="4"/>
      <c r="E22" s="20"/>
      <c r="F22" s="3"/>
      <c r="G22" s="16"/>
      <c r="H22" s="18"/>
    </row>
    <row r="23" spans="1:9" x14ac:dyDescent="0.25">
      <c r="A23" s="30"/>
      <c r="B23" s="20"/>
      <c r="C23" s="14"/>
      <c r="D23" s="4"/>
      <c r="E23" s="20"/>
      <c r="F23" s="3"/>
      <c r="G23" s="16"/>
      <c r="H23" s="18"/>
    </row>
    <row r="24" spans="1:9" x14ac:dyDescent="0.25">
      <c r="A24" s="30"/>
      <c r="B24" s="20"/>
      <c r="C24" s="14"/>
      <c r="D24" s="4"/>
      <c r="E24" s="20"/>
      <c r="F24" s="3"/>
      <c r="G24" s="16"/>
      <c r="H24" s="18"/>
    </row>
    <row r="25" spans="1:9" ht="15.75" thickBot="1" x14ac:dyDescent="0.3">
      <c r="A25" s="30"/>
      <c r="B25" s="21"/>
      <c r="C25" s="15"/>
      <c r="D25" s="11"/>
      <c r="E25" s="21"/>
      <c r="F25" s="10"/>
      <c r="G25" s="17"/>
      <c r="H25" s="18"/>
      <c r="I25" s="1"/>
    </row>
    <row r="26" spans="1:9" x14ac:dyDescent="0.25">
      <c r="B26" s="1"/>
      <c r="C26" s="1"/>
      <c r="D26" s="1"/>
      <c r="E26" s="1"/>
      <c r="F26" s="1"/>
      <c r="G26" s="1"/>
      <c r="H26" s="19"/>
    </row>
  </sheetData>
  <mergeCells count="2">
    <mergeCell ref="B2:D2"/>
    <mergeCell ref="E2:G2"/>
  </mergeCells>
  <pageMargins left="0.7" right="0.7" top="0.75" bottom="0.75" header="0.3" footer="0.3"/>
  <headerFooter>
    <oddFooter>&amp;L_x000D_&amp;1#&amp;"Trebuchet MS"&amp;9&amp;K008542 INTERNA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_x00e1_rio xmlns="5eca22c0-eb25-47f9-8e40-6311b42713e3" xsi:nil="true"/>
    <TaxCatchAll xmlns="a3670202-e2c8-4501-acef-9f8b2a4cab00" xsi:nil="true"/>
    <lcf76f155ced4ddcb4097134ff3c332f xmlns="5eca22c0-eb25-47f9-8e40-6311b42713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CFADABA7BAB4F88713B69E875472E" ma:contentTypeVersion="18" ma:contentTypeDescription="Create a new document." ma:contentTypeScope="" ma:versionID="ea0e8325821c5eb4824ad6fa490023c6">
  <xsd:schema xmlns:xsd="http://www.w3.org/2001/XMLSchema" xmlns:xs="http://www.w3.org/2001/XMLSchema" xmlns:p="http://schemas.microsoft.com/office/2006/metadata/properties" xmlns:ns2="5eca22c0-eb25-47f9-8e40-6311b42713e3" xmlns:ns3="a3670202-e2c8-4501-acef-9f8b2a4cab00" targetNamespace="http://schemas.microsoft.com/office/2006/metadata/properties" ma:root="true" ma:fieldsID="47dbeef5681ff06b194d51af8fd4b4de" ns2:_="" ns3:_="">
    <xsd:import namespace="5eca22c0-eb25-47f9-8e40-6311b42713e3"/>
    <xsd:import namespace="a3670202-e2c8-4501-acef-9f8b2a4cab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Coment_x00e1_rio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a22c0-eb25-47f9-8e40-6311b42713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Coment_x00e1_rio" ma:index="18" nillable="true" ma:displayName="Comentário" ma:internalName="Coment_x00e1_rio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566a8fd-94ed-4d49-8999-3a54f140f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70202-e2c8-4501-acef-9f8b2a4cab0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393231-06ff-4e07-8770-4ff0d5ed0545}" ma:internalName="TaxCatchAll" ma:showField="CatchAllData" ma:web="a3670202-e2c8-4501-acef-9f8b2a4cab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947E6-064A-4B81-B4D3-B49A63B5F38F}">
  <ds:schemaRefs>
    <ds:schemaRef ds:uri="http://schemas.openxmlformats.org/package/2006/metadata/core-properties"/>
    <ds:schemaRef ds:uri="5eca22c0-eb25-47f9-8e40-6311b42713e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a3670202-e2c8-4501-acef-9f8b2a4cab0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C3F93EB-89AA-42BE-8409-25171E39BD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41C6BF-D60E-47C8-87F3-828374C31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a22c0-eb25-47f9-8e40-6311b42713e3"/>
    <ds:schemaRef ds:uri="a3670202-e2c8-4501-acef-9f8b2a4cab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Módulo I</vt:lpstr>
      <vt:lpstr>Módulo II </vt:lpstr>
      <vt:lpstr>Módulo III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de Andrade Ammon - PrestServ</dc:creator>
  <cp:keywords/>
  <dc:description/>
  <cp:lastModifiedBy>Rafael de Andrade Ammon - PrestServ</cp:lastModifiedBy>
  <cp:revision/>
  <dcterms:created xsi:type="dcterms:W3CDTF">2025-09-01T17:58:19Z</dcterms:created>
  <dcterms:modified xsi:type="dcterms:W3CDTF">2026-02-09T10:43:05Z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0x010100B4ACFADABA7BAB4F88713B69E875472E</vt:lpwstr>
  </property>
  <property fmtid="{D5CDD505-2E9C-101B-9397-08002B2CF9AE}" pid="3" name="MediaServiceImageTags">
    <vt:lpwstr/>
  </property>
</Properties>
</file>